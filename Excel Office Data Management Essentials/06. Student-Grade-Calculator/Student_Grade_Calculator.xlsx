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Student-Grade-Calculator\"/>
    </mc:Choice>
  </mc:AlternateContent>
  <xr:revisionPtr revIDLastSave="0" documentId="13_ncr:1_{17B1D611-3D8A-493D-9A40-1CCC9482E65A}" xr6:coauthVersionLast="47" xr6:coauthVersionMax="47" xr10:uidLastSave="{00000000-0000-0000-0000-000000000000}"/>
  <bookViews>
    <workbookView xWindow="-120" yWindow="-120" windowWidth="20730" windowHeight="11160" activeTab="2" xr2:uid="{C4CFD216-8399-4BF1-9648-FB731DED4EB3}"/>
  </bookViews>
  <sheets>
    <sheet name="Project Info" sheetId="2" r:id="rId1"/>
    <sheet name="Student Sheet" sheetId="1" r:id="rId2"/>
    <sheet name="Summary" sheetId="3" r:id="rId3"/>
  </sheets>
  <definedNames>
    <definedName name="_xlnm._FilterDatabase" localSheetId="1" hidden="1">'Student Sheet'!$A$4:$H$9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8" i="3"/>
  <c r="C7" i="3"/>
  <c r="C4" i="3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6" i="1"/>
  <c r="H7" i="1"/>
  <c r="H8" i="1"/>
  <c r="H9" i="1"/>
  <c r="H5" i="1"/>
  <c r="I5" i="1" s="1"/>
</calcChain>
</file>

<file path=xl/sharedStrings.xml><?xml version="1.0" encoding="utf-8"?>
<sst xmlns="http://schemas.openxmlformats.org/spreadsheetml/2006/main" count="40" uniqueCount="40">
  <si>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</si>
  <si>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</si>
  <si>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</si>
  <si>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</si>
  <si>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</si>
  <si>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</si>
  <si>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</si>
  <si>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SUMMARY SECTION</t>
  </si>
  <si>
    <t>Value</t>
  </si>
  <si>
    <t>STUDENT GRADE CALCULATOR</t>
  </si>
  <si>
    <t>Student Sheet</t>
  </si>
  <si>
    <t>Student ID</t>
  </si>
  <si>
    <t>Last Name</t>
  </si>
  <si>
    <t>First Name</t>
  </si>
  <si>
    <t>Quiz</t>
  </si>
  <si>
    <t>Assignment</t>
  </si>
  <si>
    <t>Final Exam</t>
  </si>
  <si>
    <t>Final Grade</t>
  </si>
  <si>
    <t>Remarks</t>
  </si>
  <si>
    <t>2026-001</t>
  </si>
  <si>
    <t>2026-002</t>
  </si>
  <si>
    <t>2026-003</t>
  </si>
  <si>
    <t>2026-004</t>
  </si>
  <si>
    <t>2026-005</t>
  </si>
  <si>
    <t>Santos</t>
  </si>
  <si>
    <t>Geneva</t>
  </si>
  <si>
    <t>Dela Cruz</t>
  </si>
  <si>
    <t>Maria</t>
  </si>
  <si>
    <t>Reyez</t>
  </si>
  <si>
    <t>Vicky</t>
  </si>
  <si>
    <t>Gracia</t>
  </si>
  <si>
    <t>John</t>
  </si>
  <si>
    <t>Tan</t>
  </si>
  <si>
    <t>Josef</t>
  </si>
  <si>
    <t>Midterm</t>
  </si>
  <si>
    <t>Class Average</t>
  </si>
  <si>
    <t>Highest Grade</t>
  </si>
  <si>
    <t>Lowest Grade</t>
  </si>
  <si>
    <t>Students Passed</t>
  </si>
  <si>
    <t>Students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</si>
</sst>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5" fillId="5" borderId="15" xfId="0" applyFont="1" applyFill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5" borderId="16" xfId="0" applyFont="1" applyFill="1" applyBorder="1" applyAlignment="1">
      <alignment wrapText="1"/>
    </xf>
    <xf numFmtId="0" fontId="1" fillId="4" borderId="17" xfId="0" applyFont="1" applyFill="1" applyBorder="1" applyAlignment="1">
      <alignment horizontal="center"/>
    </xf>
    <xf numFmtId="0" fontId="0" fillId="5" borderId="1" xfId="0" applyNumberFormat="1" applyFill="1" applyBorder="1"/>
    <xf numFmtId="0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  <xf numFmtId="0" fontId="1" fillId="7" borderId="17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4" sqref="B4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18" t="s">
        <v>9</v>
      </c>
      <c r="C3" s="18"/>
      <c r="D3" s="18"/>
      <c r="E3" s="18"/>
      <c r="F3" s="18"/>
      <c r="G3" s="18"/>
      <c r="H3" s="18"/>
      <c r="I3" s="18"/>
      <c r="J3" s="18"/>
    </row>
    <row r="5" spans="2:10" ht="15.75" thickBot="1" x14ac:dyDescent="0.3"/>
    <row r="6" spans="2:10" ht="19.5" thickTop="1" x14ac:dyDescent="0.3">
      <c r="B6" s="22" t="s">
        <v>1</v>
      </c>
      <c r="C6" s="23"/>
      <c r="D6" s="23"/>
      <c r="E6" s="23"/>
      <c r="F6" s="23"/>
      <c r="G6" s="23"/>
      <c r="H6" s="23"/>
      <c r="I6" s="23"/>
      <c r="J6" s="24"/>
    </row>
    <row r="7" spans="2:10" x14ac:dyDescent="0.25">
      <c r="B7" s="5"/>
      <c r="C7" s="5"/>
      <c r="D7" s="5"/>
    </row>
    <row r="8" spans="2:10" ht="18.75" x14ac:dyDescent="0.3">
      <c r="B8" s="25" t="s">
        <v>2</v>
      </c>
      <c r="C8" s="25"/>
      <c r="D8" s="25"/>
      <c r="E8" s="25"/>
      <c r="F8" s="15"/>
      <c r="G8" s="16"/>
      <c r="H8" s="16"/>
      <c r="I8" s="16"/>
      <c r="J8" s="17"/>
    </row>
    <row r="9" spans="2:10" ht="18.75" x14ac:dyDescent="0.3">
      <c r="B9" s="25" t="s">
        <v>3</v>
      </c>
      <c r="C9" s="25"/>
      <c r="D9" s="25"/>
      <c r="E9" s="25"/>
      <c r="F9" s="15"/>
      <c r="G9" s="16"/>
      <c r="H9" s="16"/>
      <c r="I9" s="16"/>
      <c r="J9" s="17"/>
    </row>
    <row r="10" spans="2:10" ht="18.75" x14ac:dyDescent="0.3">
      <c r="B10" s="25" t="s">
        <v>4</v>
      </c>
      <c r="C10" s="25"/>
      <c r="D10" s="25"/>
      <c r="E10" s="25"/>
      <c r="F10" s="15"/>
      <c r="G10" s="16"/>
      <c r="H10" s="16"/>
      <c r="I10" s="16"/>
      <c r="J10" s="17"/>
    </row>
    <row r="11" spans="2:10" ht="18.75" x14ac:dyDescent="0.3">
      <c r="B11" s="25" t="s">
        <v>6</v>
      </c>
      <c r="C11" s="25"/>
      <c r="D11" s="25"/>
      <c r="E11" s="25"/>
      <c r="F11" s="15"/>
      <c r="G11" s="16"/>
      <c r="H11" s="16"/>
      <c r="I11" s="16"/>
      <c r="J11" s="17"/>
    </row>
    <row r="12" spans="2:10" ht="18.75" x14ac:dyDescent="0.3">
      <c r="B12" s="25" t="s">
        <v>5</v>
      </c>
      <c r="C12" s="25"/>
      <c r="D12" s="25"/>
      <c r="E12" s="25"/>
      <c r="F12" s="26"/>
      <c r="G12" s="27"/>
      <c r="H12" s="27"/>
      <c r="I12" s="27"/>
      <c r="J12" s="28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19"/>
      <c r="C15" s="20"/>
      <c r="D15" s="20"/>
      <c r="E15" s="20"/>
      <c r="F15" s="20"/>
      <c r="G15" s="20"/>
      <c r="H15" s="20"/>
      <c r="I15" s="20"/>
      <c r="J15" s="21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I30"/>
  <sheetViews>
    <sheetView view="pageBreakPreview" zoomScale="85" zoomScaleNormal="115" zoomScaleSheetLayoutView="85" workbookViewId="0">
      <selection activeCell="H5" sqref="H5"/>
    </sheetView>
  </sheetViews>
  <sheetFormatPr defaultRowHeight="15" x14ac:dyDescent="0.25"/>
  <cols>
    <col min="1" max="1" width="23" bestFit="1" customWidth="1"/>
    <col min="2" max="2" width="22.42578125" bestFit="1" customWidth="1"/>
    <col min="3" max="3" width="23.28515625" bestFit="1" customWidth="1"/>
    <col min="4" max="4" width="15.7109375" bestFit="1" customWidth="1"/>
    <col min="5" max="5" width="24" bestFit="1" customWidth="1"/>
    <col min="6" max="6" width="19.42578125" bestFit="1" customWidth="1"/>
    <col min="7" max="7" width="23" bestFit="1" customWidth="1"/>
    <col min="8" max="8" width="24" bestFit="1" customWidth="1"/>
    <col min="9" max="9" width="12.140625" bestFit="1" customWidth="1"/>
  </cols>
  <sheetData>
    <row r="1" spans="1:9" ht="30" customHeight="1" x14ac:dyDescent="0.25">
      <c r="A1" s="29" t="s">
        <v>10</v>
      </c>
      <c r="B1" s="29"/>
      <c r="C1" s="29"/>
      <c r="D1" s="29"/>
      <c r="E1" s="29"/>
      <c r="F1" s="29"/>
      <c r="G1" s="29"/>
      <c r="H1" s="29"/>
      <c r="I1" s="29"/>
    </row>
    <row r="4" spans="1:9" x14ac:dyDescent="0.25">
      <c r="A4" s="6" t="s">
        <v>11</v>
      </c>
      <c r="B4" s="6" t="s">
        <v>12</v>
      </c>
      <c r="C4" s="6" t="s">
        <v>13</v>
      </c>
      <c r="D4" s="12" t="s">
        <v>14</v>
      </c>
      <c r="E4" s="12" t="s">
        <v>15</v>
      </c>
      <c r="F4" s="12" t="s">
        <v>34</v>
      </c>
      <c r="G4" s="12" t="s">
        <v>16</v>
      </c>
      <c r="H4" s="38" t="s">
        <v>17</v>
      </c>
      <c r="I4" s="12" t="s">
        <v>18</v>
      </c>
    </row>
    <row r="5" spans="1:9" x14ac:dyDescent="0.25">
      <c r="A5" s="1" t="s">
        <v>19</v>
      </c>
      <c r="B5" s="1" t="s">
        <v>24</v>
      </c>
      <c r="C5" s="1" t="s">
        <v>25</v>
      </c>
      <c r="D5" s="13">
        <v>90</v>
      </c>
      <c r="E5" s="13">
        <v>92</v>
      </c>
      <c r="F5" s="1">
        <v>88</v>
      </c>
      <c r="G5" s="1">
        <v>91</v>
      </c>
      <c r="H5" s="1">
        <f>AVERAGE(D5:G5)</f>
        <v>90.25</v>
      </c>
      <c r="I5" s="1" t="str">
        <f>IF(H5&gt;75,"Pass","Fail")</f>
        <v>Pass</v>
      </c>
    </row>
    <row r="6" spans="1:9" x14ac:dyDescent="0.25">
      <c r="A6" s="2" t="s">
        <v>20</v>
      </c>
      <c r="B6" s="2" t="s">
        <v>26</v>
      </c>
      <c r="C6" s="2" t="s">
        <v>27</v>
      </c>
      <c r="D6" s="14">
        <v>85</v>
      </c>
      <c r="E6" s="14">
        <v>87</v>
      </c>
      <c r="F6" s="2">
        <v>84</v>
      </c>
      <c r="G6" s="2">
        <v>86</v>
      </c>
      <c r="H6" s="2">
        <f t="shared" ref="H6:H29" si="0">AVERAGE(D6:G6)</f>
        <v>85.5</v>
      </c>
      <c r="I6" s="1" t="str">
        <f t="shared" ref="I6:I29" si="1">IF(H6&gt;75,"Pass","Fail")</f>
        <v>Pass</v>
      </c>
    </row>
    <row r="7" spans="1:9" x14ac:dyDescent="0.25">
      <c r="A7" s="1" t="s">
        <v>21</v>
      </c>
      <c r="B7" s="1" t="s">
        <v>28</v>
      </c>
      <c r="C7" s="1" t="s">
        <v>29</v>
      </c>
      <c r="D7" s="13">
        <v>95</v>
      </c>
      <c r="E7" s="13">
        <v>94</v>
      </c>
      <c r="F7" s="1">
        <v>96</v>
      </c>
      <c r="G7" s="1">
        <v>97</v>
      </c>
      <c r="H7" s="1">
        <f t="shared" si="0"/>
        <v>95.5</v>
      </c>
      <c r="I7" s="1" t="str">
        <f t="shared" si="1"/>
        <v>Pass</v>
      </c>
    </row>
    <row r="8" spans="1:9" x14ac:dyDescent="0.25">
      <c r="A8" s="2" t="s">
        <v>22</v>
      </c>
      <c r="B8" s="2" t="s">
        <v>30</v>
      </c>
      <c r="C8" s="2" t="s">
        <v>31</v>
      </c>
      <c r="D8" s="14">
        <v>80</v>
      </c>
      <c r="E8" s="14">
        <v>82</v>
      </c>
      <c r="F8" s="2">
        <v>81</v>
      </c>
      <c r="G8" s="2">
        <v>83</v>
      </c>
      <c r="H8" s="2">
        <f t="shared" si="0"/>
        <v>81.5</v>
      </c>
      <c r="I8" s="1" t="str">
        <f t="shared" si="1"/>
        <v>Pass</v>
      </c>
    </row>
    <row r="9" spans="1:9" x14ac:dyDescent="0.25">
      <c r="A9" s="1" t="s">
        <v>23</v>
      </c>
      <c r="B9" s="1" t="s">
        <v>32</v>
      </c>
      <c r="C9" s="1" t="s">
        <v>33</v>
      </c>
      <c r="D9" s="13">
        <v>74</v>
      </c>
      <c r="E9" s="13">
        <v>76</v>
      </c>
      <c r="F9" s="1">
        <v>75</v>
      </c>
      <c r="G9" s="1">
        <v>77</v>
      </c>
      <c r="H9" s="1">
        <f t="shared" si="0"/>
        <v>75.5</v>
      </c>
      <c r="I9" s="1" t="str">
        <f t="shared" si="1"/>
        <v>Pass</v>
      </c>
    </row>
    <row r="10" spans="1:9" x14ac:dyDescent="0.25">
      <c r="A10" s="2"/>
      <c r="B10" s="2"/>
      <c r="C10" s="2"/>
      <c r="D10" s="14"/>
      <c r="E10" s="14"/>
      <c r="F10" s="2"/>
      <c r="G10" s="2"/>
      <c r="H10" s="2" t="e">
        <f t="shared" si="0"/>
        <v>#DIV/0!</v>
      </c>
      <c r="I10" s="1" t="e">
        <f t="shared" si="1"/>
        <v>#DIV/0!</v>
      </c>
    </row>
    <row r="11" spans="1:9" x14ac:dyDescent="0.25">
      <c r="A11" s="1"/>
      <c r="B11" s="1"/>
      <c r="C11" s="1"/>
      <c r="D11" s="13"/>
      <c r="E11" s="13"/>
      <c r="F11" s="1"/>
      <c r="G11" s="1"/>
      <c r="H11" s="1" t="e">
        <f t="shared" si="0"/>
        <v>#DIV/0!</v>
      </c>
      <c r="I11" s="1" t="e">
        <f t="shared" si="1"/>
        <v>#DIV/0!</v>
      </c>
    </row>
    <row r="12" spans="1:9" x14ac:dyDescent="0.25">
      <c r="A12" s="2"/>
      <c r="B12" s="2"/>
      <c r="C12" s="2"/>
      <c r="D12" s="14"/>
      <c r="E12" s="14"/>
      <c r="F12" s="2"/>
      <c r="G12" s="2"/>
      <c r="H12" s="2" t="e">
        <f t="shared" si="0"/>
        <v>#DIV/0!</v>
      </c>
      <c r="I12" s="1" t="e">
        <f t="shared" si="1"/>
        <v>#DIV/0!</v>
      </c>
    </row>
    <row r="13" spans="1:9" x14ac:dyDescent="0.25">
      <c r="A13" s="1"/>
      <c r="B13" s="1"/>
      <c r="C13" s="1"/>
      <c r="D13" s="13"/>
      <c r="E13" s="13"/>
      <c r="F13" s="1"/>
      <c r="G13" s="1"/>
      <c r="H13" s="1" t="e">
        <f t="shared" si="0"/>
        <v>#DIV/0!</v>
      </c>
      <c r="I13" s="1" t="e">
        <f t="shared" si="1"/>
        <v>#DIV/0!</v>
      </c>
    </row>
    <row r="14" spans="1:9" x14ac:dyDescent="0.25">
      <c r="A14" s="2"/>
      <c r="B14" s="2"/>
      <c r="C14" s="2"/>
      <c r="D14" s="14"/>
      <c r="E14" s="14"/>
      <c r="F14" s="2"/>
      <c r="G14" s="2"/>
      <c r="H14" s="2" t="e">
        <f t="shared" si="0"/>
        <v>#DIV/0!</v>
      </c>
      <c r="I14" s="1" t="e">
        <f t="shared" si="1"/>
        <v>#DIV/0!</v>
      </c>
    </row>
    <row r="15" spans="1:9" x14ac:dyDescent="0.25">
      <c r="A15" s="1"/>
      <c r="B15" s="1"/>
      <c r="C15" s="1"/>
      <c r="D15" s="13"/>
      <c r="E15" s="13"/>
      <c r="F15" s="1"/>
      <c r="G15" s="1"/>
      <c r="H15" s="1" t="e">
        <f t="shared" si="0"/>
        <v>#DIV/0!</v>
      </c>
      <c r="I15" s="1" t="e">
        <f t="shared" si="1"/>
        <v>#DIV/0!</v>
      </c>
    </row>
    <row r="16" spans="1:9" x14ac:dyDescent="0.25">
      <c r="A16" s="2"/>
      <c r="B16" s="2"/>
      <c r="C16" s="2"/>
      <c r="D16" s="14"/>
      <c r="E16" s="14"/>
      <c r="F16" s="2"/>
      <c r="G16" s="2"/>
      <c r="H16" s="2" t="e">
        <f t="shared" si="0"/>
        <v>#DIV/0!</v>
      </c>
      <c r="I16" s="1" t="e">
        <f t="shared" si="1"/>
        <v>#DIV/0!</v>
      </c>
    </row>
    <row r="17" spans="1:9" x14ac:dyDescent="0.25">
      <c r="A17" s="1"/>
      <c r="B17" s="1"/>
      <c r="C17" s="1"/>
      <c r="D17" s="13"/>
      <c r="E17" s="13"/>
      <c r="F17" s="1"/>
      <c r="G17" s="1"/>
      <c r="H17" s="1" t="e">
        <f t="shared" si="0"/>
        <v>#DIV/0!</v>
      </c>
      <c r="I17" s="1" t="e">
        <f t="shared" si="1"/>
        <v>#DIV/0!</v>
      </c>
    </row>
    <row r="18" spans="1:9" x14ac:dyDescent="0.25">
      <c r="A18" s="2"/>
      <c r="B18" s="2"/>
      <c r="C18" s="2"/>
      <c r="D18" s="14"/>
      <c r="E18" s="14"/>
      <c r="F18" s="2"/>
      <c r="G18" s="2"/>
      <c r="H18" s="2" t="e">
        <f t="shared" si="0"/>
        <v>#DIV/0!</v>
      </c>
      <c r="I18" s="1" t="e">
        <f t="shared" si="1"/>
        <v>#DIV/0!</v>
      </c>
    </row>
    <row r="19" spans="1:9" x14ac:dyDescent="0.25">
      <c r="A19" s="1"/>
      <c r="B19" s="1"/>
      <c r="C19" s="1"/>
      <c r="D19" s="13"/>
      <c r="E19" s="13"/>
      <c r="F19" s="1"/>
      <c r="G19" s="1"/>
      <c r="H19" s="1" t="e">
        <f t="shared" si="0"/>
        <v>#DIV/0!</v>
      </c>
      <c r="I19" s="1" t="e">
        <f t="shared" si="1"/>
        <v>#DIV/0!</v>
      </c>
    </row>
    <row r="20" spans="1:9" x14ac:dyDescent="0.25">
      <c r="A20" s="2"/>
      <c r="B20" s="2"/>
      <c r="C20" s="2"/>
      <c r="D20" s="14"/>
      <c r="E20" s="14"/>
      <c r="F20" s="2"/>
      <c r="G20" s="2"/>
      <c r="H20" s="2" t="e">
        <f t="shared" si="0"/>
        <v>#DIV/0!</v>
      </c>
      <c r="I20" s="1" t="e">
        <f t="shared" si="1"/>
        <v>#DIV/0!</v>
      </c>
    </row>
    <row r="21" spans="1:9" x14ac:dyDescent="0.25">
      <c r="A21" s="1"/>
      <c r="B21" s="1"/>
      <c r="C21" s="1"/>
      <c r="D21" s="13"/>
      <c r="E21" s="13"/>
      <c r="F21" s="1"/>
      <c r="G21" s="1"/>
      <c r="H21" s="1" t="e">
        <f t="shared" si="0"/>
        <v>#DIV/0!</v>
      </c>
      <c r="I21" s="1" t="e">
        <f t="shared" si="1"/>
        <v>#DIV/0!</v>
      </c>
    </row>
    <row r="22" spans="1:9" x14ac:dyDescent="0.25">
      <c r="A22" s="2"/>
      <c r="B22" s="2"/>
      <c r="C22" s="2"/>
      <c r="D22" s="14"/>
      <c r="E22" s="14"/>
      <c r="F22" s="2"/>
      <c r="G22" s="2"/>
      <c r="H22" s="2" t="e">
        <f t="shared" si="0"/>
        <v>#DIV/0!</v>
      </c>
      <c r="I22" s="1" t="e">
        <f t="shared" si="1"/>
        <v>#DIV/0!</v>
      </c>
    </row>
    <row r="23" spans="1:9" x14ac:dyDescent="0.25">
      <c r="A23" s="1"/>
      <c r="B23" s="1"/>
      <c r="C23" s="1"/>
      <c r="D23" s="13"/>
      <c r="E23" s="13"/>
      <c r="F23" s="1"/>
      <c r="G23" s="1"/>
      <c r="H23" s="1" t="e">
        <f t="shared" si="0"/>
        <v>#DIV/0!</v>
      </c>
      <c r="I23" s="1" t="e">
        <f t="shared" si="1"/>
        <v>#DIV/0!</v>
      </c>
    </row>
    <row r="24" spans="1:9" x14ac:dyDescent="0.25">
      <c r="A24" s="2"/>
      <c r="B24" s="2"/>
      <c r="C24" s="2"/>
      <c r="D24" s="14"/>
      <c r="E24" s="14"/>
      <c r="F24" s="2"/>
      <c r="G24" s="2"/>
      <c r="H24" s="2" t="e">
        <f t="shared" si="0"/>
        <v>#DIV/0!</v>
      </c>
      <c r="I24" s="1" t="e">
        <f t="shared" si="1"/>
        <v>#DIV/0!</v>
      </c>
    </row>
    <row r="25" spans="1:9" x14ac:dyDescent="0.25">
      <c r="A25" s="1"/>
      <c r="B25" s="1"/>
      <c r="C25" s="1"/>
      <c r="D25" s="13"/>
      <c r="E25" s="13"/>
      <c r="F25" s="1"/>
      <c r="G25" s="1"/>
      <c r="H25" s="1" t="e">
        <f t="shared" si="0"/>
        <v>#DIV/0!</v>
      </c>
      <c r="I25" s="1" t="e">
        <f t="shared" si="1"/>
        <v>#DIV/0!</v>
      </c>
    </row>
    <row r="26" spans="1:9" x14ac:dyDescent="0.25">
      <c r="A26" s="2"/>
      <c r="B26" s="2"/>
      <c r="C26" s="2"/>
      <c r="D26" s="14"/>
      <c r="E26" s="14"/>
      <c r="F26" s="2"/>
      <c r="G26" s="2"/>
      <c r="H26" s="2" t="e">
        <f t="shared" si="0"/>
        <v>#DIV/0!</v>
      </c>
      <c r="I26" s="1" t="e">
        <f t="shared" si="1"/>
        <v>#DIV/0!</v>
      </c>
    </row>
    <row r="27" spans="1:9" x14ac:dyDescent="0.25">
      <c r="A27" s="1"/>
      <c r="B27" s="1"/>
      <c r="C27" s="1"/>
      <c r="D27" s="13"/>
      <c r="E27" s="13"/>
      <c r="F27" s="1"/>
      <c r="G27" s="1"/>
      <c r="H27" s="1" t="e">
        <f t="shared" si="0"/>
        <v>#DIV/0!</v>
      </c>
      <c r="I27" s="1" t="e">
        <f t="shared" si="1"/>
        <v>#DIV/0!</v>
      </c>
    </row>
    <row r="28" spans="1:9" x14ac:dyDescent="0.25">
      <c r="A28" s="2"/>
      <c r="B28" s="2"/>
      <c r="C28" s="2"/>
      <c r="D28" s="14"/>
      <c r="E28" s="14"/>
      <c r="F28" s="2"/>
      <c r="G28" s="2"/>
      <c r="H28" s="2" t="e">
        <f t="shared" si="0"/>
        <v>#DIV/0!</v>
      </c>
      <c r="I28" s="1" t="e">
        <f t="shared" si="1"/>
        <v>#DIV/0!</v>
      </c>
    </row>
    <row r="29" spans="1:9" x14ac:dyDescent="0.25">
      <c r="A29" s="1"/>
      <c r="B29" s="1"/>
      <c r="C29" s="1"/>
      <c r="D29" s="13"/>
      <c r="E29" s="13"/>
      <c r="F29" s="1"/>
      <c r="G29" s="1"/>
      <c r="H29" s="1" t="e">
        <f t="shared" si="0"/>
        <v>#DIV/0!</v>
      </c>
      <c r="I29" s="1" t="e">
        <f t="shared" si="1"/>
        <v>#DIV/0!</v>
      </c>
    </row>
    <row r="30" spans="1:9" x14ac:dyDescent="0.25">
      <c r="A30" s="3"/>
      <c r="B30" s="3"/>
      <c r="C30" s="4"/>
      <c r="D30" s="4"/>
      <c r="E30" s="4"/>
      <c r="F30" s="4"/>
      <c r="G30" s="4"/>
      <c r="H30" s="4"/>
      <c r="I30" s="4"/>
    </row>
  </sheetData>
  <autoFilter ref="A4:H9" xr:uid="{28A5DBBF-71AC-4CA5-A75F-42EF80819C81}"/>
  <mergeCells count="1">
    <mergeCell ref="A1:I1"/>
  </mergeCells>
  <phoneticPr fontId="6" type="noConversion"/>
  <conditionalFormatting sqref="I5:I29">
    <cfRule type="containsText" dxfId="2" priority="3" operator="containsText" text="Pass">
      <formula>NOT(ISERROR(SEARCH("Pass",I5)))</formula>
    </cfRule>
  </conditionalFormatting>
  <conditionalFormatting sqref="I10">
    <cfRule type="containsText" dxfId="1" priority="2" operator="containsText" text="Fail">
      <formula>NOT(ISERROR(SEARCH("Fail",I10)))</formula>
    </cfRule>
  </conditionalFormatting>
  <conditionalFormatting sqref="I5:I29">
    <cfRule type="containsText" dxfId="0" priority="1" operator="containsText" text="Fail">
      <formula>NOT(ISERROR(SEARCH("Fail",I5)))</formula>
    </cfRule>
  </conditionalFormatting>
  <pageMargins left="0.7" right="0.7" top="0.75" bottom="0.75" header="0.3" footer="0.3"/>
  <pageSetup scale="62" orientation="landscape" horizontalDpi="360" verticalDpi="36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8"/>
  <sheetViews>
    <sheetView tabSelected="1" view="pageBreakPreview" zoomScale="145" zoomScaleNormal="100" zoomScaleSheetLayoutView="145" workbookViewId="0">
      <selection activeCell="E7" sqref="E7"/>
    </sheetView>
  </sheetViews>
  <sheetFormatPr defaultRowHeight="15" x14ac:dyDescent="0.25"/>
  <cols>
    <col min="1" max="1" width="9.140625" style="7"/>
    <col min="2" max="2" width="16.140625" style="7" customWidth="1"/>
    <col min="3" max="3" width="10" style="7" bestFit="1" customWidth="1"/>
    <col min="4" max="16384" width="9.140625" style="7"/>
  </cols>
  <sheetData>
    <row r="1" spans="1:3" ht="21" x14ac:dyDescent="0.35">
      <c r="A1" s="30" t="s">
        <v>7</v>
      </c>
      <c r="B1" s="30"/>
      <c r="C1" s="30"/>
    </row>
    <row r="3" spans="1:3" ht="18.75" x14ac:dyDescent="0.3">
      <c r="A3" s="31" t="s">
        <v>0</v>
      </c>
      <c r="B3" s="31"/>
      <c r="C3" s="8" t="s">
        <v>8</v>
      </c>
    </row>
    <row r="4" spans="1:3" ht="18.75" x14ac:dyDescent="0.3">
      <c r="A4" s="32" t="s">
        <v>35</v>
      </c>
      <c r="B4" s="33"/>
      <c r="C4" s="9">
        <f>AVERAGE('Student Sheet'!G5:G9)</f>
        <v>86.8</v>
      </c>
    </row>
    <row r="5" spans="1:3" ht="18.75" x14ac:dyDescent="0.3">
      <c r="A5" s="34" t="s">
        <v>36</v>
      </c>
      <c r="B5" s="35"/>
      <c r="C5" s="10">
        <f>MAX('Student Sheet'!H5:H9)</f>
        <v>95.5</v>
      </c>
    </row>
    <row r="6" spans="1:3" ht="18.75" x14ac:dyDescent="0.3">
      <c r="A6" s="36" t="s">
        <v>37</v>
      </c>
      <c r="B6" s="37"/>
      <c r="C6" s="11">
        <f>MIN('Student Sheet'!H5:H9)</f>
        <v>75.5</v>
      </c>
    </row>
    <row r="7" spans="1:3" ht="18.75" customHeight="1" x14ac:dyDescent="0.3">
      <c r="A7" s="34" t="s">
        <v>38</v>
      </c>
      <c r="B7" s="35"/>
      <c r="C7" s="10">
        <f>COUNTIFS('Student Sheet'!I5:I9,"Pass")</f>
        <v>5</v>
      </c>
    </row>
    <row r="8" spans="1:3" ht="18.75" customHeight="1" x14ac:dyDescent="0.3">
      <c r="A8" s="36" t="s">
        <v>39</v>
      </c>
      <c r="B8" s="37"/>
      <c r="C8" s="11">
        <f>COUNTIF('Student Sheet'!I5:I9,"Fail")</f>
        <v>0</v>
      </c>
    </row>
  </sheetData>
  <mergeCells count="7">
    <mergeCell ref="A7:B7"/>
    <mergeCell ref="A8:B8"/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Student Sheet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2026-08-19T12:17:55Z</dcterms:modified>
</cp:coreProperties>
</file>