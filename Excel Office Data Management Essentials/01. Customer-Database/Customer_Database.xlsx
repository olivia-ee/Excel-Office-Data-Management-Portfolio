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Customer-Database\"/>
    </mc:Choice>
  </mc:AlternateContent>
  <xr:revisionPtr revIDLastSave="0" documentId="13_ncr:1_{E2219C4F-5FF1-4021-AE49-F82DB09D409B}" xr6:coauthVersionLast="47" xr6:coauthVersionMax="47" xr10:uidLastSave="{00000000-0000-0000-0000-000000000000}"/>
  <bookViews>
    <workbookView xWindow="-120" yWindow="-120" windowWidth="20730" windowHeight="11160" activeTab="1" xr2:uid="{C4CFD216-8399-4BF1-9648-FB731DED4EB3}"/>
  </bookViews>
  <sheets>
    <sheet name="Project Info" sheetId="2" r:id="rId1"/>
    <sheet name="Customer Database" sheetId="1" r:id="rId2"/>
    <sheet name="Summary" sheetId="3" r:id="rId3"/>
  </sheets>
  <definedNames>
    <definedName name="_xlnm._FilterDatabase" localSheetId="1" hidden="1">'Customer Database'!$A$4:$H$9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</calcChain>
</file>

<file path=xl/sharedStrings.xml><?xml version="1.0" encoding="utf-8"?>
<sst xmlns="http://schemas.openxmlformats.org/spreadsheetml/2006/main" count="52" uniqueCount="49">
  <si>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</si>
  <si>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</si>
  <si>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</si>
  <si>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</si>
  <si>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</si>
  <si>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</si>
  <si>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</si>
  <si>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SUMMARY SECTION</t>
  </si>
  <si>
    <t>Value</t>
  </si>
  <si>
    <t>Customer ID</t>
  </si>
  <si>
    <t>Customer Name</t>
  </si>
  <si>
    <t>Company</t>
  </si>
  <si>
    <t>Contact No.</t>
  </si>
  <si>
    <t>Email</t>
  </si>
  <si>
    <t>City</t>
  </si>
  <si>
    <t>Date Registered</t>
  </si>
  <si>
    <t>Status</t>
  </si>
  <si>
    <t>C001</t>
  </si>
  <si>
    <t>C002</t>
  </si>
  <si>
    <t>C003</t>
  </si>
  <si>
    <t>C004</t>
  </si>
  <si>
    <t>C005</t>
  </si>
  <si>
    <t>Maria Santos</t>
  </si>
  <si>
    <t>John Crux</t>
  </si>
  <si>
    <t>Anna Reyes</t>
  </si>
  <si>
    <t>Kevin Garcia</t>
  </si>
  <si>
    <t>Rose Lim</t>
  </si>
  <si>
    <t>MS Trading</t>
  </si>
  <si>
    <t>JC Supplies</t>
  </si>
  <si>
    <t>Reyes Store</t>
  </si>
  <si>
    <t>KG Builders</t>
  </si>
  <si>
    <t>RL Enterprises</t>
  </si>
  <si>
    <t>maria.santos@email.com</t>
  </si>
  <si>
    <t>john.crux@email.com</t>
  </si>
  <si>
    <t>anna.reyes@email.com</t>
  </si>
  <si>
    <t>kevin.garcia@email.com</t>
  </si>
  <si>
    <t>rose.lim@email.com</t>
  </si>
  <si>
    <t>Quezon City</t>
  </si>
  <si>
    <t>Manila</t>
  </si>
  <si>
    <t>Makati</t>
  </si>
  <si>
    <t>Pasig</t>
  </si>
  <si>
    <t>Taguig</t>
  </si>
  <si>
    <t>Active</t>
  </si>
  <si>
    <t>Inactive</t>
  </si>
  <si>
    <t>Customer Database</t>
  </si>
  <si>
    <t>Total Customers</t>
  </si>
  <si>
    <t>Active Customers</t>
  </si>
  <si>
    <t>Inactive Customers</t>
  </si>
  <si>
    <t>CUSTOMER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</si>
</sst>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5" fillId="5" borderId="15" xfId="0" applyFont="1" applyFill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5" borderId="16" xfId="0" applyFont="1" applyFill="1" applyBorder="1" applyAlignment="1">
      <alignment wrapText="1"/>
    </xf>
    <xf numFmtId="0" fontId="1" fillId="4" borderId="17" xfId="0" applyFont="1" applyFill="1" applyBorder="1" applyAlignment="1">
      <alignment horizontal="center"/>
    </xf>
    <xf numFmtId="0" fontId="0" fillId="5" borderId="1" xfId="0" applyNumberFormat="1" applyFill="1" applyBorder="1"/>
    <xf numFmtId="0" fontId="0" fillId="6" borderId="1" xfId="0" applyNumberFormat="1" applyFill="1" applyBorder="1"/>
    <xf numFmtId="0" fontId="7" fillId="5" borderId="1" xfId="1" applyFill="1" applyBorder="1"/>
    <xf numFmtId="0" fontId="7" fillId="6" borderId="1" xfId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8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reyes@email.com" TargetMode="External"/><Relationship Id="rId2" Type="http://schemas.openxmlformats.org/officeDocument/2006/relationships/hyperlink" Target="mailto:john.crux@email.com" TargetMode="External"/><Relationship Id="rId1" Type="http://schemas.openxmlformats.org/officeDocument/2006/relationships/hyperlink" Target="mailto:maria.santos@e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rose.lim@email.com" TargetMode="External"/><Relationship Id="rId4" Type="http://schemas.openxmlformats.org/officeDocument/2006/relationships/hyperlink" Target="mailto:kevin.garcia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3" sqref="B3:J3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22" t="s">
        <v>48</v>
      </c>
      <c r="C3" s="22"/>
      <c r="D3" s="22"/>
      <c r="E3" s="22"/>
      <c r="F3" s="22"/>
      <c r="G3" s="22"/>
      <c r="H3" s="22"/>
      <c r="I3" s="22"/>
      <c r="J3" s="22"/>
    </row>
    <row r="5" spans="2:10" ht="15.75" thickBot="1" x14ac:dyDescent="0.3"/>
    <row r="6" spans="2:10" ht="19.5" thickTop="1" x14ac:dyDescent="0.3">
      <c r="B6" s="26" t="s">
        <v>1</v>
      </c>
      <c r="C6" s="27"/>
      <c r="D6" s="27"/>
      <c r="E6" s="27"/>
      <c r="F6" s="27"/>
      <c r="G6" s="27"/>
      <c r="H6" s="27"/>
      <c r="I6" s="27"/>
      <c r="J6" s="28"/>
    </row>
    <row r="7" spans="2:10" x14ac:dyDescent="0.25">
      <c r="B7" s="5"/>
      <c r="C7" s="5"/>
      <c r="D7" s="5"/>
    </row>
    <row r="8" spans="2:10" ht="18.75" x14ac:dyDescent="0.3">
      <c r="B8" s="29" t="s">
        <v>2</v>
      </c>
      <c r="C8" s="29"/>
      <c r="D8" s="29"/>
      <c r="E8" s="29"/>
      <c r="F8" s="19"/>
      <c r="G8" s="20"/>
      <c r="H8" s="20"/>
      <c r="I8" s="20"/>
      <c r="J8" s="21"/>
    </row>
    <row r="9" spans="2:10" ht="18.75" x14ac:dyDescent="0.3">
      <c r="B9" s="29" t="s">
        <v>3</v>
      </c>
      <c r="C9" s="29"/>
      <c r="D9" s="29"/>
      <c r="E9" s="29"/>
      <c r="F9" s="19"/>
      <c r="G9" s="20"/>
      <c r="H9" s="20"/>
      <c r="I9" s="20"/>
      <c r="J9" s="21"/>
    </row>
    <row r="10" spans="2:10" ht="18.75" x14ac:dyDescent="0.3">
      <c r="B10" s="29" t="s">
        <v>4</v>
      </c>
      <c r="C10" s="29"/>
      <c r="D10" s="29"/>
      <c r="E10" s="29"/>
      <c r="F10" s="19"/>
      <c r="G10" s="20"/>
      <c r="H10" s="20"/>
      <c r="I10" s="20"/>
      <c r="J10" s="21"/>
    </row>
    <row r="11" spans="2:10" ht="18.75" x14ac:dyDescent="0.3">
      <c r="B11" s="29" t="s">
        <v>6</v>
      </c>
      <c r="C11" s="29"/>
      <c r="D11" s="29"/>
      <c r="E11" s="29"/>
      <c r="F11" s="19"/>
      <c r="G11" s="20"/>
      <c r="H11" s="20"/>
      <c r="I11" s="20"/>
      <c r="J11" s="21"/>
    </row>
    <row r="12" spans="2:10" ht="18.75" x14ac:dyDescent="0.3">
      <c r="B12" s="29" t="s">
        <v>5</v>
      </c>
      <c r="C12" s="29"/>
      <c r="D12" s="29"/>
      <c r="E12" s="29"/>
      <c r="F12" s="30"/>
      <c r="G12" s="31"/>
      <c r="H12" s="31"/>
      <c r="I12" s="31"/>
      <c r="J12" s="32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23"/>
      <c r="C15" s="24"/>
      <c r="D15" s="24"/>
      <c r="E15" s="24"/>
      <c r="F15" s="24"/>
      <c r="G15" s="24"/>
      <c r="H15" s="24"/>
      <c r="I15" s="24"/>
      <c r="J15" s="25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H30"/>
  <sheetViews>
    <sheetView tabSelected="1" zoomScale="115" zoomScaleNormal="115" zoomScaleSheetLayoutView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5.28515625" bestFit="1" customWidth="1"/>
    <col min="2" max="2" width="19.5703125" bestFit="1" customWidth="1"/>
    <col min="3" max="3" width="14.85546875" bestFit="1" customWidth="1"/>
    <col min="4" max="4" width="15.28515625" bestFit="1" customWidth="1"/>
    <col min="5" max="5" width="25.42578125" bestFit="1" customWidth="1"/>
    <col min="6" max="6" width="12.85546875" bestFit="1" customWidth="1"/>
    <col min="7" max="7" width="20.140625" bestFit="1" customWidth="1"/>
    <col min="8" max="8" width="9.140625" bestFit="1" customWidth="1"/>
  </cols>
  <sheetData>
    <row r="1" spans="1:8" ht="30" customHeight="1" x14ac:dyDescent="0.25">
      <c r="A1" s="33" t="s">
        <v>44</v>
      </c>
      <c r="B1" s="34"/>
      <c r="C1" s="34"/>
      <c r="D1" s="34"/>
      <c r="E1" s="34"/>
      <c r="F1" s="34"/>
      <c r="G1" s="34"/>
      <c r="H1" s="34"/>
    </row>
    <row r="4" spans="1:8" x14ac:dyDescent="0.25">
      <c r="A4" s="6" t="s">
        <v>9</v>
      </c>
      <c r="B4" s="6" t="s">
        <v>10</v>
      </c>
      <c r="C4" s="6" t="s">
        <v>11</v>
      </c>
      <c r="D4" s="12" t="s">
        <v>12</v>
      </c>
      <c r="E4" s="12" t="s">
        <v>13</v>
      </c>
      <c r="F4" s="12" t="s">
        <v>14</v>
      </c>
      <c r="G4" s="12" t="s">
        <v>15</v>
      </c>
      <c r="H4" s="12" t="s">
        <v>16</v>
      </c>
    </row>
    <row r="5" spans="1:8" x14ac:dyDescent="0.25">
      <c r="A5" s="1" t="s">
        <v>17</v>
      </c>
      <c r="B5" s="1" t="s">
        <v>22</v>
      </c>
      <c r="C5" s="1" t="s">
        <v>27</v>
      </c>
      <c r="D5" s="13">
        <v>9173659274</v>
      </c>
      <c r="E5" s="15" t="s">
        <v>32</v>
      </c>
      <c r="F5" s="1" t="s">
        <v>37</v>
      </c>
      <c r="G5" s="17">
        <v>46143</v>
      </c>
      <c r="H5" s="1" t="s">
        <v>42</v>
      </c>
    </row>
    <row r="6" spans="1:8" x14ac:dyDescent="0.25">
      <c r="A6" s="2" t="s">
        <v>18</v>
      </c>
      <c r="B6" s="2" t="s">
        <v>23</v>
      </c>
      <c r="C6" s="2" t="s">
        <v>28</v>
      </c>
      <c r="D6" s="14">
        <v>9187348392</v>
      </c>
      <c r="E6" s="16" t="s">
        <v>33</v>
      </c>
      <c r="F6" s="2" t="s">
        <v>38</v>
      </c>
      <c r="G6" s="18">
        <v>46266</v>
      </c>
      <c r="H6" s="2" t="s">
        <v>42</v>
      </c>
    </row>
    <row r="7" spans="1:8" x14ac:dyDescent="0.25">
      <c r="A7" s="1" t="s">
        <v>19</v>
      </c>
      <c r="B7" s="1" t="s">
        <v>24</v>
      </c>
      <c r="C7" s="1" t="s">
        <v>29</v>
      </c>
      <c r="D7" s="13">
        <v>9193467890</v>
      </c>
      <c r="E7" s="15" t="s">
        <v>34</v>
      </c>
      <c r="F7" s="1" t="s">
        <v>39</v>
      </c>
      <c r="G7" s="17">
        <v>46040</v>
      </c>
      <c r="H7" s="1" t="s">
        <v>42</v>
      </c>
    </row>
    <row r="8" spans="1:8" x14ac:dyDescent="0.25">
      <c r="A8" s="2" t="s">
        <v>20</v>
      </c>
      <c r="B8" s="2" t="s">
        <v>25</v>
      </c>
      <c r="C8" s="2" t="s">
        <v>30</v>
      </c>
      <c r="D8" s="14">
        <v>9204567890</v>
      </c>
      <c r="E8" s="16" t="s">
        <v>35</v>
      </c>
      <c r="F8" s="2" t="s">
        <v>40</v>
      </c>
      <c r="G8" s="18">
        <v>46042</v>
      </c>
      <c r="H8" s="2" t="s">
        <v>43</v>
      </c>
    </row>
    <row r="9" spans="1:8" x14ac:dyDescent="0.25">
      <c r="A9" s="1" t="s">
        <v>21</v>
      </c>
      <c r="B9" s="1" t="s">
        <v>26</v>
      </c>
      <c r="C9" s="1" t="s">
        <v>31</v>
      </c>
      <c r="D9" s="13">
        <v>9173863885</v>
      </c>
      <c r="E9" s="15" t="s">
        <v>36</v>
      </c>
      <c r="F9" s="1" t="s">
        <v>41</v>
      </c>
      <c r="G9" s="17">
        <v>46054</v>
      </c>
      <c r="H9" s="1" t="s">
        <v>42</v>
      </c>
    </row>
    <row r="10" spans="1:8" x14ac:dyDescent="0.25">
      <c r="A10" s="2"/>
      <c r="B10" s="2"/>
      <c r="C10" s="2"/>
      <c r="D10" s="14"/>
      <c r="E10" s="2"/>
      <c r="F10" s="2"/>
      <c r="G10" s="18"/>
      <c r="H10" s="2"/>
    </row>
    <row r="11" spans="1:8" x14ac:dyDescent="0.25">
      <c r="A11" s="1"/>
      <c r="B11" s="1"/>
      <c r="C11" s="1"/>
      <c r="D11" s="13"/>
      <c r="E11" s="1"/>
      <c r="F11" s="1"/>
      <c r="G11" s="17"/>
      <c r="H11" s="1"/>
    </row>
    <row r="12" spans="1:8" x14ac:dyDescent="0.25">
      <c r="A12" s="2"/>
      <c r="B12" s="2"/>
      <c r="C12" s="2"/>
      <c r="D12" s="14"/>
      <c r="E12" s="2"/>
      <c r="F12" s="2"/>
      <c r="G12" s="18"/>
      <c r="H12" s="2"/>
    </row>
    <row r="13" spans="1:8" x14ac:dyDescent="0.25">
      <c r="A13" s="1"/>
      <c r="B13" s="1"/>
      <c r="C13" s="1"/>
      <c r="D13" s="13"/>
      <c r="E13" s="1"/>
      <c r="F13" s="1"/>
      <c r="G13" s="17"/>
      <c r="H13" s="1"/>
    </row>
    <row r="14" spans="1:8" x14ac:dyDescent="0.25">
      <c r="A14" s="2"/>
      <c r="B14" s="2"/>
      <c r="C14" s="2"/>
      <c r="D14" s="14"/>
      <c r="E14" s="2"/>
      <c r="F14" s="2"/>
      <c r="G14" s="18"/>
      <c r="H14" s="2"/>
    </row>
    <row r="15" spans="1:8" x14ac:dyDescent="0.25">
      <c r="A15" s="1"/>
      <c r="B15" s="1"/>
      <c r="C15" s="1"/>
      <c r="D15" s="13"/>
      <c r="E15" s="1"/>
      <c r="F15" s="1"/>
      <c r="G15" s="17"/>
      <c r="H15" s="1"/>
    </row>
    <row r="16" spans="1:8" x14ac:dyDescent="0.25">
      <c r="A16" s="2"/>
      <c r="B16" s="2"/>
      <c r="C16" s="2"/>
      <c r="D16" s="14"/>
      <c r="E16" s="2"/>
      <c r="F16" s="2"/>
      <c r="G16" s="18"/>
      <c r="H16" s="2"/>
    </row>
    <row r="17" spans="1:8" x14ac:dyDescent="0.25">
      <c r="A17" s="1"/>
      <c r="B17" s="1"/>
      <c r="C17" s="1"/>
      <c r="D17" s="13"/>
      <c r="E17" s="1"/>
      <c r="F17" s="1"/>
      <c r="G17" s="17"/>
      <c r="H17" s="1"/>
    </row>
    <row r="18" spans="1:8" x14ac:dyDescent="0.25">
      <c r="A18" s="2"/>
      <c r="B18" s="2"/>
      <c r="C18" s="2"/>
      <c r="D18" s="14"/>
      <c r="E18" s="2"/>
      <c r="F18" s="2"/>
      <c r="G18" s="18"/>
      <c r="H18" s="2"/>
    </row>
    <row r="19" spans="1:8" x14ac:dyDescent="0.25">
      <c r="A19" s="1"/>
      <c r="B19" s="1"/>
      <c r="C19" s="1"/>
      <c r="D19" s="13"/>
      <c r="E19" s="1"/>
      <c r="F19" s="1"/>
      <c r="G19" s="17"/>
      <c r="H19" s="1"/>
    </row>
    <row r="20" spans="1:8" x14ac:dyDescent="0.25">
      <c r="A20" s="2"/>
      <c r="B20" s="2"/>
      <c r="C20" s="2"/>
      <c r="D20" s="14"/>
      <c r="E20" s="2"/>
      <c r="F20" s="2"/>
      <c r="G20" s="18"/>
      <c r="H20" s="2"/>
    </row>
    <row r="21" spans="1:8" x14ac:dyDescent="0.25">
      <c r="A21" s="1"/>
      <c r="B21" s="1"/>
      <c r="C21" s="1"/>
      <c r="D21" s="13"/>
      <c r="E21" s="1"/>
      <c r="F21" s="1"/>
      <c r="G21" s="17"/>
      <c r="H21" s="1"/>
    </row>
    <row r="22" spans="1:8" x14ac:dyDescent="0.25">
      <c r="A22" s="2"/>
      <c r="B22" s="2"/>
      <c r="C22" s="2"/>
      <c r="D22" s="14"/>
      <c r="E22" s="2"/>
      <c r="F22" s="2"/>
      <c r="G22" s="18"/>
      <c r="H22" s="2"/>
    </row>
    <row r="23" spans="1:8" x14ac:dyDescent="0.25">
      <c r="A23" s="1"/>
      <c r="B23" s="1"/>
      <c r="C23" s="1"/>
      <c r="D23" s="13"/>
      <c r="E23" s="1"/>
      <c r="F23" s="1"/>
      <c r="G23" s="17"/>
      <c r="H23" s="1"/>
    </row>
    <row r="24" spans="1:8" x14ac:dyDescent="0.25">
      <c r="A24" s="2"/>
      <c r="B24" s="2"/>
      <c r="C24" s="2"/>
      <c r="D24" s="14"/>
      <c r="E24" s="2"/>
      <c r="F24" s="2"/>
      <c r="G24" s="18"/>
      <c r="H24" s="2"/>
    </row>
    <row r="25" spans="1:8" x14ac:dyDescent="0.25">
      <c r="A25" s="1"/>
      <c r="B25" s="1"/>
      <c r="C25" s="1"/>
      <c r="D25" s="13"/>
      <c r="E25" s="1"/>
      <c r="F25" s="1"/>
      <c r="G25" s="17"/>
      <c r="H25" s="1"/>
    </row>
    <row r="26" spans="1:8" x14ac:dyDescent="0.25">
      <c r="A26" s="2"/>
      <c r="B26" s="2"/>
      <c r="C26" s="2"/>
      <c r="D26" s="14"/>
      <c r="E26" s="2"/>
      <c r="F26" s="2"/>
      <c r="G26" s="18"/>
      <c r="H26" s="2"/>
    </row>
    <row r="27" spans="1:8" x14ac:dyDescent="0.25">
      <c r="A27" s="1"/>
      <c r="B27" s="1"/>
      <c r="C27" s="1"/>
      <c r="D27" s="13"/>
      <c r="E27" s="1"/>
      <c r="F27" s="1"/>
      <c r="G27" s="17"/>
      <c r="H27" s="1"/>
    </row>
    <row r="28" spans="1:8" x14ac:dyDescent="0.25">
      <c r="A28" s="2"/>
      <c r="B28" s="2"/>
      <c r="C28" s="2"/>
      <c r="D28" s="14"/>
      <c r="E28" s="2"/>
      <c r="F28" s="2"/>
      <c r="G28" s="18"/>
      <c r="H28" s="2"/>
    </row>
    <row r="29" spans="1:8" x14ac:dyDescent="0.25">
      <c r="A29" s="1"/>
      <c r="B29" s="1"/>
      <c r="C29" s="1"/>
      <c r="D29" s="13"/>
      <c r="E29" s="1"/>
      <c r="F29" s="1"/>
      <c r="G29" s="17"/>
      <c r="H29" s="1"/>
    </row>
    <row r="30" spans="1:8" x14ac:dyDescent="0.25">
      <c r="A30" s="3"/>
      <c r="B30" s="3"/>
      <c r="C30" s="4"/>
      <c r="D30" s="4"/>
      <c r="E30" s="4"/>
      <c r="F30" s="4"/>
      <c r="G30" s="4"/>
      <c r="H30" s="4"/>
    </row>
  </sheetData>
  <autoFilter ref="A4:H9" xr:uid="{28A5DBBF-71AC-4CA5-A75F-42EF80819C81}"/>
  <mergeCells count="1">
    <mergeCell ref="A1:H1"/>
  </mergeCells>
  <phoneticPr fontId="6" type="noConversion"/>
  <hyperlinks>
    <hyperlink ref="E5" r:id="rId1" xr:uid="{991B7320-8BD4-41AC-A1BE-58D352477EF6}"/>
    <hyperlink ref="E6" r:id="rId2" xr:uid="{292896EF-88F7-40AE-ADAE-2FDF4DA1D6C3}"/>
    <hyperlink ref="E7" r:id="rId3" xr:uid="{34114194-5FFB-46C8-AC83-E2A5431B32F0}"/>
    <hyperlink ref="E8" r:id="rId4" xr:uid="{39B43D02-E9DA-4825-9DFD-3DC624A50211}"/>
    <hyperlink ref="E9" r:id="rId5" xr:uid="{A0EA8E04-817C-4F64-A0ED-79C7F9373EBD}"/>
  </hyperlinks>
  <pageMargins left="0.7" right="0.7" top="0.75" bottom="0.75" header="0.3" footer="0.3"/>
  <pageSetup scale="92" orientation="landscape" horizontalDpi="360" verticalDpi="360" r:id="rId6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6"/>
  <sheetViews>
    <sheetView view="pageBreakPreview" zoomScale="115" zoomScaleNormal="100" zoomScaleSheetLayoutView="115" workbookViewId="0">
      <selection activeCell="E4" sqref="E4"/>
    </sheetView>
  </sheetViews>
  <sheetFormatPr defaultRowHeight="15" x14ac:dyDescent="0.25"/>
  <cols>
    <col min="1" max="1" width="9.140625" style="7"/>
    <col min="2" max="2" width="16.140625" style="7" customWidth="1"/>
    <col min="3" max="3" width="7.7109375" style="7" bestFit="1" customWidth="1"/>
    <col min="4" max="16384" width="9.140625" style="7"/>
  </cols>
  <sheetData>
    <row r="1" spans="1:3" ht="21" x14ac:dyDescent="0.35">
      <c r="A1" s="35" t="s">
        <v>7</v>
      </c>
      <c r="B1" s="35"/>
      <c r="C1" s="35"/>
    </row>
    <row r="3" spans="1:3" ht="18.75" x14ac:dyDescent="0.3">
      <c r="A3" s="36" t="s">
        <v>0</v>
      </c>
      <c r="B3" s="36"/>
      <c r="C3" s="8" t="s">
        <v>8</v>
      </c>
    </row>
    <row r="4" spans="1:3" ht="18.75" x14ac:dyDescent="0.3">
      <c r="A4" s="37" t="s">
        <v>45</v>
      </c>
      <c r="B4" s="38"/>
      <c r="C4" s="9">
        <f>COUNTA('Customer Database'!A5:A29)</f>
        <v>5</v>
      </c>
    </row>
    <row r="5" spans="1:3" ht="18.75" x14ac:dyDescent="0.3">
      <c r="A5" s="39" t="s">
        <v>46</v>
      </c>
      <c r="B5" s="40"/>
      <c r="C5" s="10">
        <f>COUNTIF('Customer Database'!H5:H29,"Active")</f>
        <v>4</v>
      </c>
    </row>
    <row r="6" spans="1:3" ht="18.75" x14ac:dyDescent="0.3">
      <c r="A6" s="41" t="s">
        <v>47</v>
      </c>
      <c r="B6" s="42"/>
      <c r="C6" s="11">
        <f>COUNTIF('Customer Database'!H5:H30,"Inactive")</f>
        <v>1</v>
      </c>
    </row>
  </sheetData>
  <mergeCells count="5"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Customer Database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2026-08-04T07:09:53Z</dcterms:modified>
</cp:coreProperties>
</file>